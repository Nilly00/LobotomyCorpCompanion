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lly00\source\repos\LobotomyCorpCompanion\"/>
    </mc:Choice>
  </mc:AlternateContent>
  <bookViews>
    <workbookView xWindow="0" yWindow="0" windowWidth="21570" windowHeight="9435"/>
  </bookViews>
  <sheets>
    <sheet name="Tabelle1" sheetId="1" r:id="rId1"/>
  </sheets>
  <definedNames>
    <definedName name="_xlnm._FilterDatabase" localSheetId="0" hidden="1">Tabelle1!$B$5:$D$5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I2" i="1"/>
  <c r="F7" i="1"/>
  <c r="G7" i="1" s="1"/>
  <c r="J7" i="1" s="1"/>
  <c r="F8" i="1"/>
  <c r="G8" i="1" s="1"/>
  <c r="F9" i="1"/>
  <c r="G9" i="1" s="1"/>
  <c r="F10" i="1"/>
  <c r="G10" i="1" s="1"/>
  <c r="J10" i="1" s="1"/>
  <c r="F11" i="1"/>
  <c r="G11" i="1" s="1"/>
  <c r="F12" i="1"/>
  <c r="G12" i="1"/>
  <c r="I12" i="1"/>
  <c r="J12" i="1"/>
  <c r="F13" i="1"/>
  <c r="G13" i="1" s="1"/>
  <c r="J13" i="1" s="1"/>
  <c r="F14" i="1"/>
  <c r="G14" i="1" s="1"/>
  <c r="F15" i="1"/>
  <c r="G15" i="1"/>
  <c r="J15" i="1"/>
  <c r="I15" i="1" s="1"/>
  <c r="F16" i="1"/>
  <c r="G16" i="1" s="1"/>
  <c r="J16" i="1" s="1"/>
  <c r="F17" i="1"/>
  <c r="G17" i="1" s="1"/>
  <c r="F18" i="1"/>
  <c r="G18" i="1"/>
  <c r="I18" i="1"/>
  <c r="J18" i="1"/>
  <c r="F19" i="1"/>
  <c r="G19" i="1" s="1"/>
  <c r="J19" i="1" s="1"/>
  <c r="F20" i="1"/>
  <c r="G20" i="1" s="1"/>
  <c r="F21" i="1"/>
  <c r="G21" i="1" s="1"/>
  <c r="F22" i="1"/>
  <c r="G22" i="1" s="1"/>
  <c r="J22" i="1" s="1"/>
  <c r="F23" i="1"/>
  <c r="G23" i="1" s="1"/>
  <c r="F24" i="1"/>
  <c r="G24" i="1"/>
  <c r="I24" i="1"/>
  <c r="J24" i="1"/>
  <c r="F25" i="1"/>
  <c r="G25" i="1" s="1"/>
  <c r="J25" i="1" s="1"/>
  <c r="F26" i="1"/>
  <c r="G26" i="1" s="1"/>
  <c r="F27" i="1"/>
  <c r="G27" i="1" s="1"/>
  <c r="J27" i="1" s="1"/>
  <c r="F28" i="1"/>
  <c r="G28" i="1" s="1"/>
  <c r="J28" i="1" s="1"/>
  <c r="F29" i="1"/>
  <c r="G29" i="1" s="1"/>
  <c r="F30" i="1"/>
  <c r="G30" i="1"/>
  <c r="I30" i="1"/>
  <c r="J30" i="1"/>
  <c r="F31" i="1"/>
  <c r="G31" i="1" s="1"/>
  <c r="J31" i="1" s="1"/>
  <c r="F32" i="1"/>
  <c r="G32" i="1" s="1"/>
  <c r="F33" i="1"/>
  <c r="G33" i="1" s="1"/>
  <c r="J33" i="1" s="1"/>
  <c r="F34" i="1"/>
  <c r="G34" i="1" s="1"/>
  <c r="J34" i="1" s="1"/>
  <c r="F35" i="1"/>
  <c r="G35" i="1" s="1"/>
  <c r="F36" i="1"/>
  <c r="G36" i="1"/>
  <c r="I36" i="1"/>
  <c r="J36" i="1"/>
  <c r="F37" i="1"/>
  <c r="G37" i="1" s="1"/>
  <c r="J37" i="1" s="1"/>
  <c r="F38" i="1"/>
  <c r="G38" i="1" s="1"/>
  <c r="F39" i="1"/>
  <c r="G39" i="1" s="1"/>
  <c r="J39" i="1" s="1"/>
  <c r="F40" i="1"/>
  <c r="G40" i="1" s="1"/>
  <c r="J40" i="1" s="1"/>
  <c r="F41" i="1"/>
  <c r="G41" i="1" s="1"/>
  <c r="F42" i="1"/>
  <c r="G42" i="1"/>
  <c r="J42" i="1" s="1"/>
  <c r="I42" i="1" s="1"/>
  <c r="F43" i="1"/>
  <c r="G43" i="1" s="1"/>
  <c r="J43" i="1" s="1"/>
  <c r="F44" i="1"/>
  <c r="G44" i="1" s="1"/>
  <c r="F45" i="1"/>
  <c r="G45" i="1" s="1"/>
  <c r="J45" i="1" s="1"/>
  <c r="I45" i="1" s="1"/>
  <c r="F46" i="1"/>
  <c r="G46" i="1" s="1"/>
  <c r="J46" i="1" s="1"/>
  <c r="F47" i="1"/>
  <c r="G47" i="1" s="1"/>
  <c r="F48" i="1"/>
  <c r="G48" i="1"/>
  <c r="J48" i="1" s="1"/>
  <c r="I48" i="1" s="1"/>
  <c r="F49" i="1"/>
  <c r="G49" i="1" s="1"/>
  <c r="J49" i="1" s="1"/>
  <c r="F50" i="1"/>
  <c r="G50" i="1" s="1"/>
  <c r="F51" i="1"/>
  <c r="G51" i="1"/>
  <c r="J51" i="1" s="1"/>
  <c r="I51" i="1" s="1"/>
  <c r="F52" i="1"/>
  <c r="G52" i="1" s="1"/>
  <c r="J52" i="1" s="1"/>
  <c r="F53" i="1"/>
  <c r="G53" i="1" s="1"/>
  <c r="F54" i="1"/>
  <c r="G54" i="1" s="1"/>
  <c r="J54" i="1" s="1"/>
  <c r="I54" i="1" s="1"/>
  <c r="F55" i="1"/>
  <c r="G55" i="1" s="1"/>
  <c r="J55" i="1" s="1"/>
  <c r="F56" i="1"/>
  <c r="G56" i="1" s="1"/>
  <c r="F57" i="1"/>
  <c r="G57" i="1"/>
  <c r="J57" i="1" s="1"/>
  <c r="I57" i="1" s="1"/>
  <c r="F58" i="1"/>
  <c r="G58" i="1" s="1"/>
  <c r="J58" i="1" s="1"/>
  <c r="F59" i="1"/>
  <c r="G59" i="1" s="1"/>
  <c r="F60" i="1"/>
  <c r="G60" i="1"/>
  <c r="J60" i="1" s="1"/>
  <c r="I60" i="1" s="1"/>
  <c r="F61" i="1"/>
  <c r="G61" i="1" s="1"/>
  <c r="J61" i="1" s="1"/>
  <c r="F62" i="1"/>
  <c r="G62" i="1" s="1"/>
  <c r="F63" i="1"/>
  <c r="G63" i="1" s="1"/>
  <c r="J63" i="1" s="1"/>
  <c r="F64" i="1"/>
  <c r="G64" i="1" s="1"/>
  <c r="J64" i="1" s="1"/>
  <c r="F65" i="1"/>
  <c r="G65" i="1" s="1"/>
  <c r="F66" i="1"/>
  <c r="G66" i="1"/>
  <c r="I66" i="1" s="1"/>
  <c r="J66" i="1"/>
  <c r="F67" i="1"/>
  <c r="G67" i="1" s="1"/>
  <c r="J67" i="1" s="1"/>
  <c r="F68" i="1"/>
  <c r="G68" i="1" s="1"/>
  <c r="F69" i="1"/>
  <c r="G69" i="1" s="1"/>
  <c r="J69" i="1" s="1"/>
  <c r="F70" i="1"/>
  <c r="G70" i="1" s="1"/>
  <c r="J70" i="1" s="1"/>
  <c r="F6" i="1"/>
  <c r="G6" i="1"/>
  <c r="J6" i="1" s="1"/>
  <c r="C2" i="1"/>
  <c r="C3" i="1"/>
  <c r="B3" i="1"/>
  <c r="B2" i="1"/>
  <c r="D11" i="1"/>
  <c r="D12" i="1"/>
  <c r="D13" i="1"/>
  <c r="D14" i="1"/>
  <c r="D15" i="1"/>
  <c r="D7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8" i="1"/>
  <c r="D38" i="1"/>
  <c r="D39" i="1"/>
  <c r="D40" i="1"/>
  <c r="D41" i="1"/>
  <c r="D9" i="1"/>
  <c r="D10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6" i="1"/>
  <c r="J21" i="1" l="1"/>
  <c r="I21" i="1" s="1"/>
  <c r="J9" i="1"/>
  <c r="I9" i="1" s="1"/>
  <c r="I39" i="1"/>
  <c r="I33" i="1"/>
  <c r="I27" i="1"/>
  <c r="I63" i="1"/>
  <c r="I69" i="1"/>
  <c r="J68" i="1"/>
  <c r="I68" i="1" s="1"/>
  <c r="J62" i="1"/>
  <c r="I62" i="1" s="1"/>
  <c r="J53" i="1"/>
  <c r="I53" i="1" s="1"/>
  <c r="J44" i="1"/>
  <c r="I44" i="1" s="1"/>
  <c r="J41" i="1"/>
  <c r="I41" i="1" s="1"/>
  <c r="J35" i="1"/>
  <c r="I35" i="1" s="1"/>
  <c r="J29" i="1"/>
  <c r="I29" i="1" s="1"/>
  <c r="J23" i="1"/>
  <c r="I23" i="1" s="1"/>
  <c r="J17" i="1"/>
  <c r="I17" i="1" s="1"/>
  <c r="J11" i="1"/>
  <c r="I11" i="1" s="1"/>
  <c r="J50" i="1"/>
  <c r="I50" i="1" s="1"/>
  <c r="J65" i="1"/>
  <c r="I65" i="1" s="1"/>
  <c r="J59" i="1"/>
  <c r="I59" i="1" s="1"/>
  <c r="J47" i="1"/>
  <c r="I47" i="1" s="1"/>
  <c r="J56" i="1"/>
  <c r="I56" i="1" s="1"/>
  <c r="J38" i="1"/>
  <c r="I38" i="1" s="1"/>
  <c r="J32" i="1"/>
  <c r="I32" i="1" s="1"/>
  <c r="J26" i="1"/>
  <c r="I26" i="1" s="1"/>
  <c r="J20" i="1"/>
  <c r="I20" i="1" s="1"/>
  <c r="J14" i="1"/>
  <c r="I14" i="1" s="1"/>
  <c r="J8" i="1"/>
  <c r="I8" i="1" s="1"/>
  <c r="I70" i="1"/>
  <c r="I67" i="1"/>
  <c r="I64" i="1"/>
  <c r="I61" i="1"/>
  <c r="I58" i="1"/>
  <c r="I55" i="1"/>
  <c r="I52" i="1"/>
  <c r="I49" i="1"/>
  <c r="I46" i="1"/>
  <c r="I43" i="1"/>
  <c r="I40" i="1"/>
  <c r="I37" i="1"/>
  <c r="I34" i="1"/>
  <c r="I31" i="1"/>
  <c r="I28" i="1"/>
  <c r="I25" i="1"/>
  <c r="I22" i="1"/>
  <c r="I19" i="1"/>
  <c r="I16" i="1"/>
  <c r="I13" i="1"/>
  <c r="I10" i="1"/>
  <c r="I7" i="1"/>
  <c r="I6" i="1"/>
</calcChain>
</file>

<file path=xl/sharedStrings.xml><?xml version="1.0" encoding="utf-8"?>
<sst xmlns="http://schemas.openxmlformats.org/spreadsheetml/2006/main" count="13" uniqueCount="9">
  <si>
    <t>Height</t>
  </si>
  <si>
    <t>Width</t>
  </si>
  <si>
    <t>W&gt;H</t>
  </si>
  <si>
    <t>Median</t>
  </si>
  <si>
    <t>Width Clamped</t>
  </si>
  <si>
    <t>Height Clamped</t>
  </si>
  <si>
    <t>Average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</si>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</sst>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zoomScale="145" zoomScaleNormal="145" workbookViewId="0">
      <selection activeCell="M4" sqref="M4"/>
    </sheetView>
  </sheetViews>
  <sheetFormatPr baseColWidth="10" defaultRowHeight="15" x14ac:dyDescent="0.25"/>
  <cols>
    <col min="2" max="2" width="8.7109375" bestFit="1" customWidth="1"/>
    <col min="3" max="3" width="9.140625" bestFit="1" customWidth="1"/>
    <col min="4" max="4" width="7.5703125" bestFit="1" customWidth="1"/>
    <col min="6" max="6" width="6.42578125" bestFit="1" customWidth="1"/>
    <col min="7" max="7" width="6.85546875" bestFit="1" customWidth="1"/>
    <col min="9" max="9" width="6.42578125" bestFit="1" customWidth="1"/>
    <col min="10" max="10" width="8.42578125" bestFit="1" customWidth="1"/>
  </cols>
  <sheetData>
    <row r="1" spans="1:10" x14ac:dyDescent="0.25">
      <c r="B1" s="1" t="s">
        <v>7</v>
      </c>
      <c r="C1" s="1"/>
      <c r="I1" s="1" t="s">
        <v>8</v>
      </c>
      <c r="J1" s="1"/>
    </row>
    <row r="2" spans="1:10" x14ac:dyDescent="0.25">
      <c r="A2" t="s">
        <v>6</v>
      </c>
      <c r="B2">
        <f>ROUNDUP(AVERAGE(B6:B70),0)</f>
        <v>325</v>
      </c>
      <c r="C2">
        <f>ROUNDUP(AVERAGE(C6:C70),0)</f>
        <v>138</v>
      </c>
      <c r="I2">
        <f>MAX(I6:I70)</f>
        <v>325</v>
      </c>
      <c r="J2">
        <f>MAX(J6:J70)</f>
        <v>138</v>
      </c>
    </row>
    <row r="3" spans="1:10" x14ac:dyDescent="0.25">
      <c r="A3" t="s">
        <v>3</v>
      </c>
      <c r="B3">
        <f>ROUNDUP(MEDIAN(B6:B70),0)</f>
        <v>260</v>
      </c>
      <c r="C3">
        <f>ROUNDUP(MEDIAN(C6:C70),0)</f>
        <v>105</v>
      </c>
    </row>
    <row r="4" spans="1:10" x14ac:dyDescent="0.25">
      <c r="F4" s="1" t="s">
        <v>4</v>
      </c>
      <c r="G4" s="1"/>
      <c r="I4" s="1" t="s">
        <v>5</v>
      </c>
      <c r="J4" s="1"/>
    </row>
    <row r="5" spans="1:10" x14ac:dyDescent="0.25">
      <c r="B5" t="s">
        <v>1</v>
      </c>
      <c r="C5" t="s">
        <v>0</v>
      </c>
      <c r="D5" t="s">
        <v>2</v>
      </c>
      <c r="F5" t="s">
        <v>1</v>
      </c>
      <c r="G5" t="s">
        <v>0</v>
      </c>
      <c r="I5" t="s">
        <v>1</v>
      </c>
      <c r="J5" t="s">
        <v>0</v>
      </c>
    </row>
    <row r="6" spans="1:10" x14ac:dyDescent="0.25">
      <c r="B6">
        <v>63</v>
      </c>
      <c r="C6">
        <v>87</v>
      </c>
      <c r="D6" t="b">
        <f>B6&gt;C6</f>
        <v>0</v>
      </c>
      <c r="F6">
        <f>MIN(B6,$B$2)</f>
        <v>63</v>
      </c>
      <c r="G6">
        <f>C6/(B6/F6)</f>
        <v>87</v>
      </c>
      <c r="I6">
        <f>F6/(G6/J6)</f>
        <v>63</v>
      </c>
      <c r="J6">
        <f>MIN(G6,$C$2)</f>
        <v>87</v>
      </c>
    </row>
    <row r="7" spans="1:10" x14ac:dyDescent="0.25">
      <c r="B7">
        <v>104</v>
      </c>
      <c r="C7">
        <v>136</v>
      </c>
      <c r="D7" t="b">
        <f>B7&gt;C7</f>
        <v>0</v>
      </c>
      <c r="F7">
        <f>MIN(B7,$B$2)</f>
        <v>104</v>
      </c>
      <c r="G7">
        <f t="shared" ref="G7:G70" si="0">C7/(B7/F7)</f>
        <v>136</v>
      </c>
      <c r="I7">
        <f t="shared" ref="I7:I70" si="1">F7/(G7/J7)</f>
        <v>104</v>
      </c>
      <c r="J7">
        <f>MIN(G7,$C$2)</f>
        <v>136</v>
      </c>
    </row>
    <row r="8" spans="1:10" x14ac:dyDescent="0.25">
      <c r="B8">
        <v>256</v>
      </c>
      <c r="C8">
        <v>400</v>
      </c>
      <c r="D8" t="b">
        <f>B8&gt;C8</f>
        <v>0</v>
      </c>
      <c r="F8">
        <f>MIN(B8,$B$2)</f>
        <v>256</v>
      </c>
      <c r="G8">
        <f t="shared" si="0"/>
        <v>400</v>
      </c>
      <c r="I8">
        <f t="shared" si="1"/>
        <v>88.32</v>
      </c>
      <c r="J8">
        <f>MIN(G8,$C$2)</f>
        <v>138</v>
      </c>
    </row>
    <row r="9" spans="1:10" x14ac:dyDescent="0.25">
      <c r="B9">
        <v>317</v>
      </c>
      <c r="C9">
        <v>330</v>
      </c>
      <c r="D9" t="b">
        <f>B9&gt;C9</f>
        <v>0</v>
      </c>
      <c r="F9">
        <f>MIN(B9,$B$2)</f>
        <v>317</v>
      </c>
      <c r="G9">
        <f t="shared" si="0"/>
        <v>330</v>
      </c>
      <c r="I9">
        <f t="shared" si="1"/>
        <v>132.56363636363636</v>
      </c>
      <c r="J9">
        <f>MIN(G9,$C$2)</f>
        <v>138</v>
      </c>
    </row>
    <row r="10" spans="1:10" x14ac:dyDescent="0.25">
      <c r="B10">
        <v>328</v>
      </c>
      <c r="C10">
        <v>350</v>
      </c>
      <c r="D10" t="b">
        <f>B10&gt;C10</f>
        <v>0</v>
      </c>
      <c r="F10">
        <f>MIN(B10,$B$2)</f>
        <v>325</v>
      </c>
      <c r="G10">
        <f t="shared" si="0"/>
        <v>346.79878048780489</v>
      </c>
      <c r="I10">
        <f t="shared" si="1"/>
        <v>129.32571428571427</v>
      </c>
      <c r="J10">
        <f>MIN(G10,$C$2)</f>
        <v>138</v>
      </c>
    </row>
    <row r="11" spans="1:10" x14ac:dyDescent="0.25">
      <c r="B11">
        <v>77</v>
      </c>
      <c r="C11">
        <v>57</v>
      </c>
      <c r="D11" t="b">
        <f>B11&gt;C11</f>
        <v>1</v>
      </c>
      <c r="F11">
        <f>MIN(B11,$B$2)</f>
        <v>77</v>
      </c>
      <c r="G11">
        <f t="shared" si="0"/>
        <v>57</v>
      </c>
      <c r="I11">
        <f t="shared" si="1"/>
        <v>77</v>
      </c>
      <c r="J11">
        <f>MIN(G11,$C$2)</f>
        <v>57</v>
      </c>
    </row>
    <row r="12" spans="1:10" x14ac:dyDescent="0.25">
      <c r="B12">
        <v>82</v>
      </c>
      <c r="C12">
        <v>54</v>
      </c>
      <c r="D12" t="b">
        <f>B12&gt;C12</f>
        <v>1</v>
      </c>
      <c r="F12">
        <f>MIN(B12,$B$2)</f>
        <v>82</v>
      </c>
      <c r="G12">
        <f t="shared" si="0"/>
        <v>54</v>
      </c>
      <c r="I12">
        <f t="shared" si="1"/>
        <v>82</v>
      </c>
      <c r="J12">
        <f>MIN(G12,$C$2)</f>
        <v>54</v>
      </c>
    </row>
    <row r="13" spans="1:10" x14ac:dyDescent="0.25">
      <c r="B13">
        <v>83</v>
      </c>
      <c r="C13">
        <v>52</v>
      </c>
      <c r="D13" t="b">
        <f>B13&gt;C13</f>
        <v>1</v>
      </c>
      <c r="F13">
        <f>MIN(B13,$B$2)</f>
        <v>83</v>
      </c>
      <c r="G13">
        <f t="shared" si="0"/>
        <v>52</v>
      </c>
      <c r="I13">
        <f t="shared" si="1"/>
        <v>83</v>
      </c>
      <c r="J13">
        <f>MIN(G13,$C$2)</f>
        <v>52</v>
      </c>
    </row>
    <row r="14" spans="1:10" x14ac:dyDescent="0.25">
      <c r="B14">
        <v>86</v>
      </c>
      <c r="C14">
        <v>52</v>
      </c>
      <c r="D14" t="b">
        <f>B14&gt;C14</f>
        <v>1</v>
      </c>
      <c r="F14">
        <f>MIN(B14,$B$2)</f>
        <v>86</v>
      </c>
      <c r="G14">
        <f t="shared" si="0"/>
        <v>52</v>
      </c>
      <c r="I14">
        <f t="shared" si="1"/>
        <v>86</v>
      </c>
      <c r="J14">
        <f>MIN(G14,$C$2)</f>
        <v>52</v>
      </c>
    </row>
    <row r="15" spans="1:10" x14ac:dyDescent="0.25">
      <c r="B15">
        <v>103</v>
      </c>
      <c r="C15">
        <v>49</v>
      </c>
      <c r="D15" t="b">
        <f>B15&gt;C15</f>
        <v>1</v>
      </c>
      <c r="F15">
        <f>MIN(B15,$B$2)</f>
        <v>103</v>
      </c>
      <c r="G15">
        <f t="shared" si="0"/>
        <v>49</v>
      </c>
      <c r="I15">
        <f t="shared" si="1"/>
        <v>103</v>
      </c>
      <c r="J15">
        <f>MIN(G15,$C$2)</f>
        <v>49</v>
      </c>
    </row>
    <row r="16" spans="1:10" x14ac:dyDescent="0.25">
      <c r="B16">
        <v>110</v>
      </c>
      <c r="C16">
        <v>73</v>
      </c>
      <c r="D16" t="b">
        <f>B16&gt;C16</f>
        <v>1</v>
      </c>
      <c r="F16">
        <f>MIN(B16,$B$2)</f>
        <v>110</v>
      </c>
      <c r="G16">
        <f t="shared" si="0"/>
        <v>73</v>
      </c>
      <c r="I16">
        <f t="shared" si="1"/>
        <v>110</v>
      </c>
      <c r="J16">
        <f>MIN(G16,$C$2)</f>
        <v>73</v>
      </c>
    </row>
    <row r="17" spans="2:10" x14ac:dyDescent="0.25">
      <c r="B17">
        <v>149</v>
      </c>
      <c r="C17">
        <v>62</v>
      </c>
      <c r="D17" t="b">
        <f>B17&gt;C17</f>
        <v>1</v>
      </c>
      <c r="F17">
        <f>MIN(B17,$B$2)</f>
        <v>149</v>
      </c>
      <c r="G17">
        <f t="shared" si="0"/>
        <v>62</v>
      </c>
      <c r="I17">
        <f t="shared" si="1"/>
        <v>149</v>
      </c>
      <c r="J17">
        <f>MIN(G17,$C$2)</f>
        <v>62</v>
      </c>
    </row>
    <row r="18" spans="2:10" x14ac:dyDescent="0.25">
      <c r="B18">
        <v>163</v>
      </c>
      <c r="C18">
        <v>75</v>
      </c>
      <c r="D18" t="b">
        <f>B18&gt;C18</f>
        <v>1</v>
      </c>
      <c r="F18">
        <f>MIN(B18,$B$2)</f>
        <v>163</v>
      </c>
      <c r="G18">
        <f t="shared" si="0"/>
        <v>75</v>
      </c>
      <c r="I18">
        <f t="shared" si="1"/>
        <v>163</v>
      </c>
      <c r="J18">
        <f>MIN(G18,$C$2)</f>
        <v>75</v>
      </c>
    </row>
    <row r="19" spans="2:10" x14ac:dyDescent="0.25">
      <c r="B19">
        <v>170</v>
      </c>
      <c r="C19">
        <v>110</v>
      </c>
      <c r="D19" t="b">
        <f>B19&gt;C19</f>
        <v>1</v>
      </c>
      <c r="F19">
        <f>MIN(B19,$B$2)</f>
        <v>170</v>
      </c>
      <c r="G19">
        <f t="shared" si="0"/>
        <v>110</v>
      </c>
      <c r="I19">
        <f t="shared" si="1"/>
        <v>170</v>
      </c>
      <c r="J19">
        <f>MIN(G19,$C$2)</f>
        <v>110</v>
      </c>
    </row>
    <row r="20" spans="2:10" x14ac:dyDescent="0.25">
      <c r="B20">
        <v>176</v>
      </c>
      <c r="C20">
        <v>91</v>
      </c>
      <c r="D20" t="b">
        <f>B20&gt;C20</f>
        <v>1</v>
      </c>
      <c r="F20">
        <f>MIN(B20,$B$2)</f>
        <v>176</v>
      </c>
      <c r="G20">
        <f t="shared" si="0"/>
        <v>91</v>
      </c>
      <c r="I20">
        <f t="shared" si="1"/>
        <v>176</v>
      </c>
      <c r="J20">
        <f>MIN(G20,$C$2)</f>
        <v>91</v>
      </c>
    </row>
    <row r="21" spans="2:10" x14ac:dyDescent="0.25">
      <c r="B21">
        <v>189</v>
      </c>
      <c r="C21">
        <v>98</v>
      </c>
      <c r="D21" t="b">
        <f>B21&gt;C21</f>
        <v>1</v>
      </c>
      <c r="F21">
        <f>MIN(B21,$B$2)</f>
        <v>189</v>
      </c>
      <c r="G21">
        <f t="shared" si="0"/>
        <v>98</v>
      </c>
      <c r="I21">
        <f t="shared" si="1"/>
        <v>189</v>
      </c>
      <c r="J21">
        <f>MIN(G21,$C$2)</f>
        <v>98</v>
      </c>
    </row>
    <row r="22" spans="2:10" x14ac:dyDescent="0.25">
      <c r="B22">
        <v>192</v>
      </c>
      <c r="C22">
        <v>94</v>
      </c>
      <c r="D22" t="b">
        <f>B22&gt;C22</f>
        <v>1</v>
      </c>
      <c r="F22">
        <f>MIN(B22,$B$2)</f>
        <v>192</v>
      </c>
      <c r="G22">
        <f t="shared" si="0"/>
        <v>94</v>
      </c>
      <c r="I22">
        <f t="shared" si="1"/>
        <v>192</v>
      </c>
      <c r="J22">
        <f>MIN(G22,$C$2)</f>
        <v>94</v>
      </c>
    </row>
    <row r="23" spans="2:10" x14ac:dyDescent="0.25">
      <c r="B23">
        <v>196</v>
      </c>
      <c r="C23">
        <v>105</v>
      </c>
      <c r="D23" t="b">
        <f>B23&gt;C23</f>
        <v>1</v>
      </c>
      <c r="F23">
        <f>MIN(B23,$B$2)</f>
        <v>196</v>
      </c>
      <c r="G23">
        <f t="shared" si="0"/>
        <v>105</v>
      </c>
      <c r="I23">
        <f t="shared" si="1"/>
        <v>196</v>
      </c>
      <c r="J23">
        <f>MIN(G23,$C$2)</f>
        <v>105</v>
      </c>
    </row>
    <row r="24" spans="2:10" x14ac:dyDescent="0.25">
      <c r="B24">
        <v>200</v>
      </c>
      <c r="C24">
        <v>23</v>
      </c>
      <c r="D24" t="b">
        <f>B24&gt;C24</f>
        <v>1</v>
      </c>
      <c r="F24">
        <f>MIN(B24,$B$2)</f>
        <v>200</v>
      </c>
      <c r="G24">
        <f t="shared" si="0"/>
        <v>23</v>
      </c>
      <c r="I24">
        <f t="shared" si="1"/>
        <v>200</v>
      </c>
      <c r="J24">
        <f>MIN(G24,$C$2)</f>
        <v>23</v>
      </c>
    </row>
    <row r="25" spans="2:10" x14ac:dyDescent="0.25">
      <c r="B25">
        <v>218</v>
      </c>
      <c r="C25">
        <v>129</v>
      </c>
      <c r="D25" t="b">
        <f>B25&gt;C25</f>
        <v>1</v>
      </c>
      <c r="F25">
        <f>MIN(B25,$B$2)</f>
        <v>218</v>
      </c>
      <c r="G25">
        <f t="shared" si="0"/>
        <v>129</v>
      </c>
      <c r="I25">
        <f t="shared" si="1"/>
        <v>218</v>
      </c>
      <c r="J25">
        <f>MIN(G25,$C$2)</f>
        <v>129</v>
      </c>
    </row>
    <row r="26" spans="2:10" x14ac:dyDescent="0.25">
      <c r="B26">
        <v>225</v>
      </c>
      <c r="C26">
        <v>30</v>
      </c>
      <c r="D26" t="b">
        <f>B26&gt;C26</f>
        <v>1</v>
      </c>
      <c r="F26">
        <f>MIN(B26,$B$2)</f>
        <v>225</v>
      </c>
      <c r="G26">
        <f t="shared" si="0"/>
        <v>30</v>
      </c>
      <c r="I26">
        <f t="shared" si="1"/>
        <v>225</v>
      </c>
      <c r="J26">
        <f>MIN(G26,$C$2)</f>
        <v>30</v>
      </c>
    </row>
    <row r="27" spans="2:10" x14ac:dyDescent="0.25">
      <c r="B27">
        <v>235</v>
      </c>
      <c r="C27">
        <v>49</v>
      </c>
      <c r="D27" t="b">
        <f>B27&gt;C27</f>
        <v>1</v>
      </c>
      <c r="F27">
        <f>MIN(B27,$B$2)</f>
        <v>235</v>
      </c>
      <c r="G27">
        <f t="shared" si="0"/>
        <v>49</v>
      </c>
      <c r="I27">
        <f t="shared" si="1"/>
        <v>235</v>
      </c>
      <c r="J27">
        <f>MIN(G27,$C$2)</f>
        <v>49</v>
      </c>
    </row>
    <row r="28" spans="2:10" x14ac:dyDescent="0.25">
      <c r="B28">
        <v>237</v>
      </c>
      <c r="C28">
        <v>49</v>
      </c>
      <c r="D28" t="b">
        <f>B28&gt;C28</f>
        <v>1</v>
      </c>
      <c r="F28">
        <f>MIN(B28,$B$2)</f>
        <v>237</v>
      </c>
      <c r="G28">
        <f t="shared" si="0"/>
        <v>49</v>
      </c>
      <c r="I28">
        <f t="shared" si="1"/>
        <v>237</v>
      </c>
      <c r="J28">
        <f>MIN(G28,$C$2)</f>
        <v>49</v>
      </c>
    </row>
    <row r="29" spans="2:10" x14ac:dyDescent="0.25">
      <c r="B29">
        <v>238</v>
      </c>
      <c r="C29">
        <v>64</v>
      </c>
      <c r="D29" t="b">
        <f>B29&gt;C29</f>
        <v>1</v>
      </c>
      <c r="F29">
        <f>MIN(B29,$B$2)</f>
        <v>238</v>
      </c>
      <c r="G29">
        <f t="shared" si="0"/>
        <v>64</v>
      </c>
      <c r="I29">
        <f t="shared" si="1"/>
        <v>238</v>
      </c>
      <c r="J29">
        <f>MIN(G29,$C$2)</f>
        <v>64</v>
      </c>
    </row>
    <row r="30" spans="2:10" x14ac:dyDescent="0.25">
      <c r="B30">
        <v>244</v>
      </c>
      <c r="C30">
        <v>105</v>
      </c>
      <c r="D30" t="b">
        <f>B30&gt;C30</f>
        <v>1</v>
      </c>
      <c r="F30">
        <f>MIN(B30,$B$2)</f>
        <v>244</v>
      </c>
      <c r="G30">
        <f t="shared" si="0"/>
        <v>105</v>
      </c>
      <c r="I30">
        <f t="shared" si="1"/>
        <v>244</v>
      </c>
      <c r="J30">
        <f>MIN(G30,$C$2)</f>
        <v>105</v>
      </c>
    </row>
    <row r="31" spans="2:10" x14ac:dyDescent="0.25">
      <c r="B31">
        <v>245</v>
      </c>
      <c r="C31">
        <v>202</v>
      </c>
      <c r="D31" t="b">
        <f>B31&gt;C31</f>
        <v>1</v>
      </c>
      <c r="F31">
        <f>MIN(B31,$B$2)</f>
        <v>245</v>
      </c>
      <c r="G31">
        <f t="shared" si="0"/>
        <v>202</v>
      </c>
      <c r="I31">
        <f t="shared" si="1"/>
        <v>167.37623762376236</v>
      </c>
      <c r="J31">
        <f>MIN(G31,$C$2)</f>
        <v>138</v>
      </c>
    </row>
    <row r="32" spans="2:10" x14ac:dyDescent="0.25">
      <c r="B32">
        <v>246</v>
      </c>
      <c r="C32">
        <v>105</v>
      </c>
      <c r="D32" t="b">
        <f>B32&gt;C32</f>
        <v>1</v>
      </c>
      <c r="F32">
        <f>MIN(B32,$B$2)</f>
        <v>246</v>
      </c>
      <c r="G32">
        <f t="shared" si="0"/>
        <v>105</v>
      </c>
      <c r="I32">
        <f t="shared" si="1"/>
        <v>246</v>
      </c>
      <c r="J32">
        <f>MIN(G32,$C$2)</f>
        <v>105</v>
      </c>
    </row>
    <row r="33" spans="2:10" x14ac:dyDescent="0.25">
      <c r="B33">
        <v>249</v>
      </c>
      <c r="C33">
        <v>69</v>
      </c>
      <c r="D33" t="b">
        <f>B33&gt;C33</f>
        <v>1</v>
      </c>
      <c r="F33">
        <f>MIN(B33,$B$2)</f>
        <v>249</v>
      </c>
      <c r="G33">
        <f t="shared" si="0"/>
        <v>69</v>
      </c>
      <c r="I33">
        <f t="shared" si="1"/>
        <v>249</v>
      </c>
      <c r="J33">
        <f>MIN(G33,$C$2)</f>
        <v>69</v>
      </c>
    </row>
    <row r="34" spans="2:10" x14ac:dyDescent="0.25">
      <c r="B34">
        <v>250</v>
      </c>
      <c r="C34">
        <v>54</v>
      </c>
      <c r="D34" t="b">
        <f>B34&gt;C34</f>
        <v>1</v>
      </c>
      <c r="F34">
        <f>MIN(B34,$B$2)</f>
        <v>250</v>
      </c>
      <c r="G34">
        <f t="shared" si="0"/>
        <v>54</v>
      </c>
      <c r="I34">
        <f t="shared" si="1"/>
        <v>250</v>
      </c>
      <c r="J34">
        <f>MIN(G34,$C$2)</f>
        <v>54</v>
      </c>
    </row>
    <row r="35" spans="2:10" x14ac:dyDescent="0.25">
      <c r="B35">
        <v>250</v>
      </c>
      <c r="C35">
        <v>45</v>
      </c>
      <c r="D35" t="b">
        <f>B35&gt;C35</f>
        <v>1</v>
      </c>
      <c r="F35">
        <f>MIN(B35,$B$2)</f>
        <v>250</v>
      </c>
      <c r="G35">
        <f t="shared" si="0"/>
        <v>45</v>
      </c>
      <c r="I35">
        <f t="shared" si="1"/>
        <v>250</v>
      </c>
      <c r="J35">
        <f>MIN(G35,$C$2)</f>
        <v>45</v>
      </c>
    </row>
    <row r="36" spans="2:10" x14ac:dyDescent="0.25">
      <c r="B36">
        <v>252</v>
      </c>
      <c r="C36">
        <v>113</v>
      </c>
      <c r="D36" t="b">
        <f>B36&gt;C36</f>
        <v>1</v>
      </c>
      <c r="F36">
        <f>MIN(B36,$B$2)</f>
        <v>252</v>
      </c>
      <c r="G36">
        <f t="shared" si="0"/>
        <v>113</v>
      </c>
      <c r="I36">
        <f t="shared" si="1"/>
        <v>252</v>
      </c>
      <c r="J36">
        <f>MIN(G36,$C$2)</f>
        <v>113</v>
      </c>
    </row>
    <row r="37" spans="2:10" x14ac:dyDescent="0.25">
      <c r="B37">
        <v>256</v>
      </c>
      <c r="C37">
        <v>110</v>
      </c>
      <c r="D37" t="b">
        <f>B37&gt;C37</f>
        <v>1</v>
      </c>
      <c r="F37">
        <f>MIN(B37,$B$2)</f>
        <v>256</v>
      </c>
      <c r="G37">
        <f t="shared" si="0"/>
        <v>110</v>
      </c>
      <c r="I37">
        <f t="shared" si="1"/>
        <v>256</v>
      </c>
      <c r="J37">
        <f>MIN(G37,$C$2)</f>
        <v>110</v>
      </c>
    </row>
    <row r="38" spans="2:10" x14ac:dyDescent="0.25">
      <c r="B38">
        <v>256</v>
      </c>
      <c r="C38">
        <v>46</v>
      </c>
      <c r="D38" t="b">
        <f>B38&gt;C38</f>
        <v>1</v>
      </c>
      <c r="F38">
        <f>MIN(B38,$B$2)</f>
        <v>256</v>
      </c>
      <c r="G38">
        <f t="shared" si="0"/>
        <v>46</v>
      </c>
      <c r="I38">
        <f t="shared" si="1"/>
        <v>256</v>
      </c>
      <c r="J38">
        <f>MIN(G38,$C$2)</f>
        <v>46</v>
      </c>
    </row>
    <row r="39" spans="2:10" x14ac:dyDescent="0.25">
      <c r="B39">
        <v>258</v>
      </c>
      <c r="C39">
        <v>50</v>
      </c>
      <c r="D39" t="b">
        <f>B39&gt;C39</f>
        <v>1</v>
      </c>
      <c r="F39">
        <f>MIN(B39,$B$2)</f>
        <v>258</v>
      </c>
      <c r="G39">
        <f t="shared" si="0"/>
        <v>50</v>
      </c>
      <c r="I39">
        <f t="shared" si="1"/>
        <v>258</v>
      </c>
      <c r="J39">
        <f>MIN(G39,$C$2)</f>
        <v>50</v>
      </c>
    </row>
    <row r="40" spans="2:10" x14ac:dyDescent="0.25">
      <c r="B40">
        <v>260</v>
      </c>
      <c r="C40">
        <v>165</v>
      </c>
      <c r="D40" t="b">
        <f>B40&gt;C40</f>
        <v>1</v>
      </c>
      <c r="F40">
        <f>MIN(B40,$B$2)</f>
        <v>260</v>
      </c>
      <c r="G40">
        <f t="shared" si="0"/>
        <v>165</v>
      </c>
      <c r="I40">
        <f t="shared" si="1"/>
        <v>217.45454545454547</v>
      </c>
      <c r="J40">
        <f>MIN(G40,$C$2)</f>
        <v>138</v>
      </c>
    </row>
    <row r="41" spans="2:10" x14ac:dyDescent="0.25">
      <c r="B41">
        <v>314</v>
      </c>
      <c r="C41">
        <v>104</v>
      </c>
      <c r="D41" t="b">
        <f>B41&gt;C41</f>
        <v>1</v>
      </c>
      <c r="F41">
        <f>MIN(B41,$B$2)</f>
        <v>314</v>
      </c>
      <c r="G41">
        <f t="shared" si="0"/>
        <v>104</v>
      </c>
      <c r="I41">
        <f t="shared" si="1"/>
        <v>314</v>
      </c>
      <c r="J41">
        <f>MIN(G41,$C$2)</f>
        <v>104</v>
      </c>
    </row>
    <row r="42" spans="2:10" x14ac:dyDescent="0.25">
      <c r="B42">
        <v>350</v>
      </c>
      <c r="C42">
        <v>162</v>
      </c>
      <c r="D42" t="b">
        <f>B42&gt;C42</f>
        <v>1</v>
      </c>
      <c r="F42">
        <f>MIN(B42,$B$2)</f>
        <v>325</v>
      </c>
      <c r="G42">
        <f t="shared" si="0"/>
        <v>150.42857142857144</v>
      </c>
      <c r="I42">
        <f t="shared" si="1"/>
        <v>298.1481481481481</v>
      </c>
      <c r="J42">
        <f>MIN(G42,$C$2)</f>
        <v>138</v>
      </c>
    </row>
    <row r="43" spans="2:10" x14ac:dyDescent="0.25">
      <c r="B43">
        <v>364</v>
      </c>
      <c r="C43">
        <v>110</v>
      </c>
      <c r="D43" t="b">
        <f>B43&gt;C43</f>
        <v>1</v>
      </c>
      <c r="F43">
        <f>MIN(B43,$B$2)</f>
        <v>325</v>
      </c>
      <c r="G43">
        <f t="shared" si="0"/>
        <v>98.214285714285708</v>
      </c>
      <c r="I43">
        <f t="shared" si="1"/>
        <v>325</v>
      </c>
      <c r="J43">
        <f>MIN(G43,$C$2)</f>
        <v>98.214285714285708</v>
      </c>
    </row>
    <row r="44" spans="2:10" x14ac:dyDescent="0.25">
      <c r="B44">
        <v>366</v>
      </c>
      <c r="C44">
        <v>220</v>
      </c>
      <c r="D44" t="b">
        <f>B44&gt;C44</f>
        <v>1</v>
      </c>
      <c r="F44">
        <f>MIN(B44,$B$2)</f>
        <v>325</v>
      </c>
      <c r="G44">
        <f t="shared" si="0"/>
        <v>195.35519125683061</v>
      </c>
      <c r="I44">
        <f t="shared" si="1"/>
        <v>229.58181818181816</v>
      </c>
      <c r="J44">
        <f>MIN(G44,$C$2)</f>
        <v>138</v>
      </c>
    </row>
    <row r="45" spans="2:10" x14ac:dyDescent="0.25">
      <c r="B45">
        <v>389</v>
      </c>
      <c r="C45">
        <v>335</v>
      </c>
      <c r="D45" t="b">
        <f>B45&gt;C45</f>
        <v>1</v>
      </c>
      <c r="F45">
        <f>MIN(B45,$B$2)</f>
        <v>325</v>
      </c>
      <c r="G45">
        <f t="shared" si="0"/>
        <v>279.88431876606683</v>
      </c>
      <c r="I45">
        <f t="shared" si="1"/>
        <v>160.24477611940301</v>
      </c>
      <c r="J45">
        <f>MIN(G45,$C$2)</f>
        <v>138</v>
      </c>
    </row>
    <row r="46" spans="2:10" x14ac:dyDescent="0.25">
      <c r="B46">
        <v>420</v>
      </c>
      <c r="C46">
        <v>68</v>
      </c>
      <c r="D46" t="b">
        <f>B46&gt;C46</f>
        <v>1</v>
      </c>
      <c r="F46">
        <f>MIN(B46,$B$2)</f>
        <v>325</v>
      </c>
      <c r="G46">
        <f t="shared" si="0"/>
        <v>52.619047619047613</v>
      </c>
      <c r="I46">
        <f t="shared" si="1"/>
        <v>325</v>
      </c>
      <c r="J46">
        <f>MIN(G46,$C$2)</f>
        <v>52.619047619047613</v>
      </c>
    </row>
    <row r="47" spans="2:10" x14ac:dyDescent="0.25">
      <c r="B47">
        <v>427</v>
      </c>
      <c r="C47">
        <v>147</v>
      </c>
      <c r="D47" t="b">
        <f>B47&gt;C47</f>
        <v>1</v>
      </c>
      <c r="F47">
        <f>MIN(B47,$B$2)</f>
        <v>325</v>
      </c>
      <c r="G47">
        <f t="shared" si="0"/>
        <v>111.88524590163934</v>
      </c>
      <c r="I47">
        <f t="shared" si="1"/>
        <v>325</v>
      </c>
      <c r="J47">
        <f>MIN(G47,$C$2)</f>
        <v>111.88524590163934</v>
      </c>
    </row>
    <row r="48" spans="2:10" x14ac:dyDescent="0.25">
      <c r="B48">
        <v>436</v>
      </c>
      <c r="C48">
        <v>256</v>
      </c>
      <c r="D48" t="b">
        <f>B48&gt;C48</f>
        <v>1</v>
      </c>
      <c r="F48">
        <f>MIN(B48,$B$2)</f>
        <v>325</v>
      </c>
      <c r="G48">
        <f t="shared" si="0"/>
        <v>190.8256880733945</v>
      </c>
      <c r="I48">
        <f t="shared" si="1"/>
        <v>235.03125</v>
      </c>
      <c r="J48">
        <f>MIN(G48,$C$2)</f>
        <v>138</v>
      </c>
    </row>
    <row r="49" spans="2:10" x14ac:dyDescent="0.25">
      <c r="B49">
        <v>465</v>
      </c>
      <c r="C49">
        <v>120</v>
      </c>
      <c r="D49" t="b">
        <f>B49&gt;C49</f>
        <v>1</v>
      </c>
      <c r="F49">
        <f>MIN(B49,$B$2)</f>
        <v>325</v>
      </c>
      <c r="G49">
        <f t="shared" si="0"/>
        <v>83.870967741935488</v>
      </c>
      <c r="I49">
        <f t="shared" si="1"/>
        <v>325</v>
      </c>
      <c r="J49">
        <f>MIN(G49,$C$2)</f>
        <v>83.870967741935488</v>
      </c>
    </row>
    <row r="50" spans="2:10" x14ac:dyDescent="0.25">
      <c r="B50">
        <v>467</v>
      </c>
      <c r="C50">
        <v>235</v>
      </c>
      <c r="D50" t="b">
        <f>B50&gt;C50</f>
        <v>1</v>
      </c>
      <c r="F50">
        <f>MIN(B50,$B$2)</f>
        <v>325</v>
      </c>
      <c r="G50">
        <f t="shared" si="0"/>
        <v>163.54389721627408</v>
      </c>
      <c r="I50">
        <f t="shared" si="1"/>
        <v>274.23829787234041</v>
      </c>
      <c r="J50">
        <f>MIN(G50,$C$2)</f>
        <v>138</v>
      </c>
    </row>
    <row r="51" spans="2:10" x14ac:dyDescent="0.25">
      <c r="B51">
        <v>470</v>
      </c>
      <c r="C51">
        <v>47</v>
      </c>
      <c r="D51" t="b">
        <f>B51&gt;C51</f>
        <v>1</v>
      </c>
      <c r="F51">
        <f>MIN(B51,$B$2)</f>
        <v>325</v>
      </c>
      <c r="G51">
        <f t="shared" si="0"/>
        <v>32.5</v>
      </c>
      <c r="I51">
        <f t="shared" si="1"/>
        <v>325</v>
      </c>
      <c r="J51">
        <f>MIN(G51,$C$2)</f>
        <v>32.5</v>
      </c>
    </row>
    <row r="52" spans="2:10" x14ac:dyDescent="0.25">
      <c r="B52">
        <v>472</v>
      </c>
      <c r="C52">
        <v>345</v>
      </c>
      <c r="D52" t="b">
        <f>B52&gt;C52</f>
        <v>1</v>
      </c>
      <c r="F52">
        <f>MIN(B52,$B$2)</f>
        <v>325</v>
      </c>
      <c r="G52">
        <f t="shared" si="0"/>
        <v>237.55296610169492</v>
      </c>
      <c r="I52">
        <f t="shared" si="1"/>
        <v>188.79999999999998</v>
      </c>
      <c r="J52">
        <f>MIN(G52,$C$2)</f>
        <v>138</v>
      </c>
    </row>
    <row r="53" spans="2:10" x14ac:dyDescent="0.25">
      <c r="B53">
        <v>476</v>
      </c>
      <c r="C53">
        <v>96</v>
      </c>
      <c r="D53" t="b">
        <f>B53&gt;C53</f>
        <v>1</v>
      </c>
      <c r="F53">
        <f>MIN(B53,$B$2)</f>
        <v>325</v>
      </c>
      <c r="G53">
        <f t="shared" si="0"/>
        <v>65.546218487394952</v>
      </c>
      <c r="I53">
        <f t="shared" si="1"/>
        <v>325</v>
      </c>
      <c r="J53">
        <f>MIN(G53,$C$2)</f>
        <v>65.546218487394952</v>
      </c>
    </row>
    <row r="54" spans="2:10" x14ac:dyDescent="0.25">
      <c r="B54">
        <v>481</v>
      </c>
      <c r="C54">
        <v>45</v>
      </c>
      <c r="D54" t="b">
        <f>B54&gt;C54</f>
        <v>1</v>
      </c>
      <c r="F54">
        <f>MIN(B54,$B$2)</f>
        <v>325</v>
      </c>
      <c r="G54">
        <f t="shared" si="0"/>
        <v>30.405405405405407</v>
      </c>
      <c r="I54">
        <f t="shared" si="1"/>
        <v>325</v>
      </c>
      <c r="J54">
        <f>MIN(G54,$C$2)</f>
        <v>30.405405405405407</v>
      </c>
    </row>
    <row r="55" spans="2:10" x14ac:dyDescent="0.25">
      <c r="B55">
        <v>489</v>
      </c>
      <c r="C55">
        <v>193</v>
      </c>
      <c r="D55" t="b">
        <f>B55&gt;C55</f>
        <v>1</v>
      </c>
      <c r="F55">
        <f>MIN(B55,$B$2)</f>
        <v>325</v>
      </c>
      <c r="G55">
        <f t="shared" si="0"/>
        <v>128.2719836400818</v>
      </c>
      <c r="I55">
        <f t="shared" si="1"/>
        <v>325</v>
      </c>
      <c r="J55">
        <f>MIN(G55,$C$2)</f>
        <v>128.2719836400818</v>
      </c>
    </row>
    <row r="56" spans="2:10" x14ac:dyDescent="0.25">
      <c r="B56">
        <v>496</v>
      </c>
      <c r="C56">
        <v>194</v>
      </c>
      <c r="D56" t="b">
        <f>B56&gt;C56</f>
        <v>1</v>
      </c>
      <c r="F56">
        <f>MIN(B56,$B$2)</f>
        <v>325</v>
      </c>
      <c r="G56">
        <f t="shared" si="0"/>
        <v>127.11693548387096</v>
      </c>
      <c r="I56">
        <f t="shared" si="1"/>
        <v>325</v>
      </c>
      <c r="J56">
        <f>MIN(G56,$C$2)</f>
        <v>127.11693548387096</v>
      </c>
    </row>
    <row r="57" spans="2:10" x14ac:dyDescent="0.25">
      <c r="B57">
        <v>496</v>
      </c>
      <c r="C57">
        <v>79</v>
      </c>
      <c r="D57" t="b">
        <f>B57&gt;C57</f>
        <v>1</v>
      </c>
      <c r="F57">
        <f>MIN(B57,$B$2)</f>
        <v>325</v>
      </c>
      <c r="G57">
        <f t="shared" si="0"/>
        <v>51.764112903225808</v>
      </c>
      <c r="I57">
        <f t="shared" si="1"/>
        <v>325</v>
      </c>
      <c r="J57">
        <f>MIN(G57,$C$2)</f>
        <v>51.764112903225808</v>
      </c>
    </row>
    <row r="58" spans="2:10" x14ac:dyDescent="0.25">
      <c r="B58">
        <v>500</v>
      </c>
      <c r="C58">
        <v>122</v>
      </c>
      <c r="D58" t="b">
        <f>B58&gt;C58</f>
        <v>1</v>
      </c>
      <c r="F58">
        <f>MIN(B58,$B$2)</f>
        <v>325</v>
      </c>
      <c r="G58">
        <f t="shared" si="0"/>
        <v>79.3</v>
      </c>
      <c r="I58">
        <f t="shared" si="1"/>
        <v>325</v>
      </c>
      <c r="J58">
        <f>MIN(G58,$C$2)</f>
        <v>79.3</v>
      </c>
    </row>
    <row r="59" spans="2:10" x14ac:dyDescent="0.25">
      <c r="B59">
        <v>504</v>
      </c>
      <c r="C59">
        <v>52</v>
      </c>
      <c r="D59" t="b">
        <f>B59&gt;C59</f>
        <v>1</v>
      </c>
      <c r="F59">
        <f>MIN(B59,$B$2)</f>
        <v>325</v>
      </c>
      <c r="G59">
        <f t="shared" si="0"/>
        <v>33.531746031746032</v>
      </c>
      <c r="I59">
        <f t="shared" si="1"/>
        <v>325</v>
      </c>
      <c r="J59">
        <f>MIN(G59,$C$2)</f>
        <v>33.531746031746032</v>
      </c>
    </row>
    <row r="60" spans="2:10" x14ac:dyDescent="0.25">
      <c r="B60">
        <v>505</v>
      </c>
      <c r="C60">
        <v>192</v>
      </c>
      <c r="D60" t="b">
        <f>B60&gt;C60</f>
        <v>1</v>
      </c>
      <c r="F60">
        <f>MIN(B60,$B$2)</f>
        <v>325</v>
      </c>
      <c r="G60">
        <f t="shared" si="0"/>
        <v>123.56435643564356</v>
      </c>
      <c r="I60">
        <f t="shared" si="1"/>
        <v>325</v>
      </c>
      <c r="J60">
        <f>MIN(G60,$C$2)</f>
        <v>123.56435643564356</v>
      </c>
    </row>
    <row r="61" spans="2:10" x14ac:dyDescent="0.25">
      <c r="B61">
        <v>512</v>
      </c>
      <c r="C61">
        <v>158</v>
      </c>
      <c r="D61" t="b">
        <f>B61&gt;C61</f>
        <v>1</v>
      </c>
      <c r="F61">
        <f>MIN(B61,$B$2)</f>
        <v>325</v>
      </c>
      <c r="G61">
        <f t="shared" si="0"/>
        <v>100.29296875</v>
      </c>
      <c r="I61">
        <f t="shared" si="1"/>
        <v>325</v>
      </c>
      <c r="J61">
        <f>MIN(G61,$C$2)</f>
        <v>100.29296875</v>
      </c>
    </row>
    <row r="62" spans="2:10" x14ac:dyDescent="0.25">
      <c r="B62">
        <v>512</v>
      </c>
      <c r="C62">
        <v>116</v>
      </c>
      <c r="D62" t="b">
        <f>B62&gt;C62</f>
        <v>1</v>
      </c>
      <c r="F62">
        <f>MIN(B62,$B$2)</f>
        <v>325</v>
      </c>
      <c r="G62">
        <f t="shared" si="0"/>
        <v>73.6328125</v>
      </c>
      <c r="I62">
        <f t="shared" si="1"/>
        <v>325</v>
      </c>
      <c r="J62">
        <f>MIN(G62,$C$2)</f>
        <v>73.6328125</v>
      </c>
    </row>
    <row r="63" spans="2:10" x14ac:dyDescent="0.25">
      <c r="B63">
        <v>512</v>
      </c>
      <c r="C63">
        <v>78</v>
      </c>
      <c r="D63" t="b">
        <f>B63&gt;C63</f>
        <v>1</v>
      </c>
      <c r="F63">
        <f>MIN(B63,$B$2)</f>
        <v>325</v>
      </c>
      <c r="G63">
        <f t="shared" si="0"/>
        <v>49.51171875</v>
      </c>
      <c r="I63">
        <f t="shared" si="1"/>
        <v>325</v>
      </c>
      <c r="J63">
        <f>MIN(G63,$C$2)</f>
        <v>49.51171875</v>
      </c>
    </row>
    <row r="64" spans="2:10" x14ac:dyDescent="0.25">
      <c r="B64">
        <v>512</v>
      </c>
      <c r="C64">
        <v>183</v>
      </c>
      <c r="D64" t="b">
        <f>B64&gt;C64</f>
        <v>1</v>
      </c>
      <c r="F64">
        <f>MIN(B64,$B$2)</f>
        <v>325</v>
      </c>
      <c r="G64">
        <f t="shared" si="0"/>
        <v>116.162109375</v>
      </c>
      <c r="I64">
        <f t="shared" si="1"/>
        <v>325</v>
      </c>
      <c r="J64">
        <f>MIN(G64,$C$2)</f>
        <v>116.162109375</v>
      </c>
    </row>
    <row r="65" spans="2:10" x14ac:dyDescent="0.25">
      <c r="B65">
        <v>512</v>
      </c>
      <c r="C65">
        <v>256</v>
      </c>
      <c r="D65" t="b">
        <f>B65&gt;C65</f>
        <v>1</v>
      </c>
      <c r="F65">
        <f>MIN(B65,$B$2)</f>
        <v>325</v>
      </c>
      <c r="G65">
        <f t="shared" si="0"/>
        <v>162.5</v>
      </c>
      <c r="I65">
        <f t="shared" si="1"/>
        <v>276</v>
      </c>
      <c r="J65">
        <f>MIN(G65,$C$2)</f>
        <v>138</v>
      </c>
    </row>
    <row r="66" spans="2:10" x14ac:dyDescent="0.25">
      <c r="B66">
        <v>512</v>
      </c>
      <c r="C66">
        <v>418</v>
      </c>
      <c r="D66" t="b">
        <f>B66&gt;C66</f>
        <v>1</v>
      </c>
      <c r="F66">
        <f>MIN(B66,$B$2)</f>
        <v>325</v>
      </c>
      <c r="G66">
        <f t="shared" si="0"/>
        <v>265.33203125</v>
      </c>
      <c r="I66">
        <f t="shared" si="1"/>
        <v>169.03349282296651</v>
      </c>
      <c r="J66">
        <f>MIN(G66,$C$2)</f>
        <v>138</v>
      </c>
    </row>
    <row r="67" spans="2:10" x14ac:dyDescent="0.25">
      <c r="B67">
        <v>512</v>
      </c>
      <c r="C67">
        <v>93</v>
      </c>
      <c r="D67" t="b">
        <f>B67&gt;C67</f>
        <v>1</v>
      </c>
      <c r="F67">
        <f>MIN(B67,$B$2)</f>
        <v>325</v>
      </c>
      <c r="G67">
        <f t="shared" si="0"/>
        <v>59.033203125</v>
      </c>
      <c r="I67">
        <f t="shared" si="1"/>
        <v>325</v>
      </c>
      <c r="J67">
        <f>MIN(G67,$C$2)</f>
        <v>59.033203125</v>
      </c>
    </row>
    <row r="68" spans="2:10" x14ac:dyDescent="0.25">
      <c r="B68">
        <v>512</v>
      </c>
      <c r="C68">
        <v>291</v>
      </c>
      <c r="D68" t="b">
        <f>B68&gt;C68</f>
        <v>1</v>
      </c>
      <c r="F68">
        <f>MIN(B68,$B$2)</f>
        <v>325</v>
      </c>
      <c r="G68">
        <f t="shared" si="0"/>
        <v>184.716796875</v>
      </c>
      <c r="I68">
        <f t="shared" si="1"/>
        <v>242.8041237113402</v>
      </c>
      <c r="J68">
        <f>MIN(G68,$C$2)</f>
        <v>138</v>
      </c>
    </row>
    <row r="69" spans="2:10" x14ac:dyDescent="0.25">
      <c r="B69">
        <v>512</v>
      </c>
      <c r="C69">
        <v>256</v>
      </c>
      <c r="D69" t="b">
        <f>B69&gt;C69</f>
        <v>1</v>
      </c>
      <c r="F69">
        <f>MIN(B69,$B$2)</f>
        <v>325</v>
      </c>
      <c r="G69">
        <f t="shared" si="0"/>
        <v>162.5</v>
      </c>
      <c r="I69">
        <f t="shared" si="1"/>
        <v>276</v>
      </c>
      <c r="J69">
        <f>MIN(G69,$C$2)</f>
        <v>138</v>
      </c>
    </row>
    <row r="70" spans="2:10" x14ac:dyDescent="0.25">
      <c r="B70">
        <v>635</v>
      </c>
      <c r="C70">
        <v>256</v>
      </c>
      <c r="D70" t="b">
        <f>B70&gt;C70</f>
        <v>1</v>
      </c>
      <c r="F70">
        <f>MIN(B70,$B$2)</f>
        <v>325</v>
      </c>
      <c r="G70">
        <f t="shared" si="0"/>
        <v>131.02362204724409</v>
      </c>
      <c r="I70">
        <f t="shared" si="1"/>
        <v>325</v>
      </c>
      <c r="J70">
        <f>MIN(G70,$C$2)</f>
        <v>131.02362204724409</v>
      </c>
    </row>
  </sheetData>
  <autoFilter ref="B5:D5">
    <sortState ref="B2:D66">
      <sortCondition ref="D1"/>
    </sortState>
  </autoFilter>
  <mergeCells count="4">
    <mergeCell ref="F4:G4"/>
    <mergeCell ref="I4:J4"/>
    <mergeCell ref="B1:C1"/>
    <mergeCell ref="I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Nilly00</dc:creator>
  <cp:lastModifiedBy>Nilly00</cp:lastModifiedBy>
  <dcterms:created xsi:type="dcterms:W3CDTF">2025-06-11T12:44:58Z</dcterms:created>
  <dcterms:modified xsi:type="dcterms:W3CDTF">2025-06-11T19:30:45Z</dcterms:modified>
</cp:coreProperties>
</file>